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59EB832-9056-422A-85D3-959DC167814C}" xr6:coauthVersionLast="47" xr6:coauthVersionMax="47" xr10:uidLastSave="{00000000-0000-0000-0000-000000000000}"/>
  <bookViews>
    <workbookView xWindow="-120" yWindow="-120" windowWidth="20640" windowHeight="11040" activeTab="3" xr2:uid="{00000000-000D-0000-FFFF-FFFF00000000}"/>
  </bookViews>
  <sheets>
    <sheet name="1_Cost Calculator" sheetId="1" r:id="rId1"/>
    <sheet name="2_Dept Risk Scorecard" sheetId="2" r:id="rId2"/>
    <sheet name="3_Retention ROI Model" sheetId="3" r:id="rId3"/>
    <sheet name="4_Source Data" sheetId="4" r:id="rId4"/>
  </sheets>
  <definedNames>
    <definedName name="_xlnm.Print_Area" localSheetId="0">'1_Cost Calculator'!$A$1:$D$40</definedName>
    <definedName name="_xlnm.Print_Area" localSheetId="1">'2_Dept Risk Scorecard'!$A$1:$H$15</definedName>
    <definedName name="_xlnm.Print_Area" localSheetId="2">'3_Retention ROI Model'!$A$1:$F$31</definedName>
    <definedName name="_xlnm.Print_Area" localSheetId="3">'4_Source Data'!$A$1:$D$21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3" l="1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D17" i="3"/>
  <c r="E17" i="3" s="1"/>
  <c r="F17" i="3" s="1"/>
  <c r="D16" i="3"/>
  <c r="E16" i="3" s="1"/>
  <c r="F16" i="3" s="1"/>
  <c r="D15" i="3"/>
  <c r="E15" i="3" s="1"/>
  <c r="F15" i="3" s="1"/>
  <c r="E14" i="3"/>
  <c r="F14" i="3" s="1"/>
  <c r="D14" i="3"/>
  <c r="D13" i="3"/>
  <c r="E13" i="3" s="1"/>
  <c r="F13" i="3" s="1"/>
  <c r="B9" i="3"/>
  <c r="E9" i="2"/>
  <c r="C9" i="2"/>
  <c r="B9" i="2"/>
  <c r="D9" i="2" s="1"/>
  <c r="H7" i="2"/>
  <c r="G7" i="2"/>
  <c r="F7" i="2"/>
  <c r="D7" i="2"/>
  <c r="G6" i="2"/>
  <c r="F6" i="2"/>
  <c r="D6" i="2"/>
  <c r="H6" i="2" s="1"/>
  <c r="G5" i="2"/>
  <c r="G9" i="2" s="1"/>
  <c r="F5" i="2"/>
  <c r="D5" i="2"/>
  <c r="H5" i="2" s="1"/>
  <c r="C23" i="1"/>
  <c r="C22" i="1"/>
  <c r="C21" i="1"/>
  <c r="C19" i="1"/>
  <c r="C20" i="1" s="1"/>
  <c r="C24" i="1" s="1"/>
  <c r="C28" i="1" s="1"/>
  <c r="D8" i="1"/>
  <c r="B8" i="1"/>
  <c r="C31" i="1" l="1"/>
  <c r="C30" i="1"/>
  <c r="C29" i="1"/>
  <c r="C32" i="1"/>
  <c r="C33" i="1"/>
</calcChain>
</file>

<file path=xl/sharedStrings.xml><?xml version="1.0" encoding="utf-8"?>
<sst xmlns="http://schemas.openxmlformats.org/spreadsheetml/2006/main" count="166" uniqueCount="148">
  <si>
    <t>HR ATTRITION COST CALCULATOR</t>
  </si>
  <si>
    <t>Project 1 — HR / People Analytics  |  IBM HR Dataset  |  1,470 Employees</t>
  </si>
  <si>
    <t>SECTION A — KEY ASSUMPTIONS   (yellow = input, change freely)</t>
  </si>
  <si>
    <t>Assumption</t>
  </si>
  <si>
    <t>Value</t>
  </si>
  <si>
    <t>Unit</t>
  </si>
  <si>
    <t>Notes</t>
  </si>
  <si>
    <t>Total employees</t>
  </si>
  <si>
    <t>employees</t>
  </si>
  <si>
    <t>From IBM dataset</t>
  </si>
  <si>
    <t>Employees who left</t>
  </si>
  <si>
    <t>From SQL Q1</t>
  </si>
  <si>
    <t>Attrition rate</t>
  </si>
  <si>
    <t>%</t>
  </si>
  <si>
    <t>Avg monthly salary — leavers</t>
  </si>
  <si>
    <t>USD/month</t>
  </si>
  <si>
    <t>From SQL Q4</t>
  </si>
  <si>
    <t>Replacement cost (% of annual sal)</t>
  </si>
  <si>
    <t>Industry std 50-200%</t>
  </si>
  <si>
    <t>Lost productivity period</t>
  </si>
  <si>
    <t>months</t>
  </si>
  <si>
    <t>Avg ramp-up time</t>
  </si>
  <si>
    <t>Productivity loss %</t>
  </si>
  <si>
    <t>25% industry benchmark</t>
  </si>
  <si>
    <t>Recruitment cost per hire</t>
  </si>
  <si>
    <t>USD</t>
  </si>
  <si>
    <t>Job boards + agency</t>
  </si>
  <si>
    <t>Training cost per hire</t>
  </si>
  <si>
    <t>Onboarding + training</t>
  </si>
  <si>
    <t>SECTION B — COST PER EMPLOYEE WHO LEAVES</t>
  </si>
  <si>
    <t>Note: Annual salary (row 18) is a helper row only — NOT included in total cost</t>
  </si>
  <si>
    <t>Cost Component</t>
  </si>
  <si>
    <t>Formula Logic</t>
  </si>
  <si>
    <t>Amount (USD)</t>
  </si>
  <si>
    <t>Annual salary (helper — not a cost)</t>
  </si>
  <si>
    <t>Monthly salary × 12</t>
  </si>
  <si>
    <t>← helper row, not in total</t>
  </si>
  <si>
    <t>Replacement cost</t>
  </si>
  <si>
    <t>Annual salary × 50%</t>
  </si>
  <si>
    <t>Lost productivity cost</t>
  </si>
  <si>
    <t>Salary × months × 25%</t>
  </si>
  <si>
    <t>Recruitment cost</t>
  </si>
  <si>
    <t>Fixed per hire</t>
  </si>
  <si>
    <t>Training &amp; onboarding</t>
  </si>
  <si>
    <t>TOTAL COST PER LEAVER</t>
  </si>
  <si>
    <t>Sum of rows 20–23 only</t>
  </si>
  <si>
    <t>← rows 20-23 only</t>
  </si>
  <si>
    <t>SECTION C — TOTAL COMPANY IMPACT</t>
  </si>
  <si>
    <t>Metric</t>
  </si>
  <si>
    <t>Calculation</t>
  </si>
  <si>
    <t>Value (USD)</t>
  </si>
  <si>
    <t>Tag</t>
  </si>
  <si>
    <t>Total annual attrition cost</t>
  </si>
  <si>
    <t>Cost per leaver × leavers</t>
  </si>
  <si>
    <t>CRITICAL</t>
  </si>
  <si>
    <t>Monthly attrition cost</t>
  </si>
  <si>
    <t>Annual cost ÷ 12</t>
  </si>
  <si>
    <t>Cost as % of payroll</t>
  </si>
  <si>
    <t>Total ÷ (salary×12×headcount)</t>
  </si>
  <si>
    <t>Saving if attrition down 5%</t>
  </si>
  <si>
    <t>Total cost × 5%</t>
  </si>
  <si>
    <t>Retention ROI</t>
  </si>
  <si>
    <t>Saving if attrition down 10%</t>
  </si>
  <si>
    <t>Total cost × 10%</t>
  </si>
  <si>
    <t>Saving if attrition down 20%</t>
  </si>
  <si>
    <t>Total cost × 20%</t>
  </si>
  <si>
    <t>COLOUR LEGEND</t>
  </si>
  <si>
    <t>Yellow cell</t>
  </si>
  <si>
    <t>Hardcoded INPUT — change freely</t>
  </si>
  <si>
    <t>Black number</t>
  </si>
  <si>
    <t>Formula — do not edit</t>
  </si>
  <si>
    <t>Green cell</t>
  </si>
  <si>
    <t>Positive result / key total</t>
  </si>
  <si>
    <t>Red cell</t>
  </si>
  <si>
    <t>Critical cost number</t>
  </si>
  <si>
    <t>DEPARTMENT ATTRITION RISK SCORECARD</t>
  </si>
  <si>
    <t>IBM HR Dataset  |  All costs in USD  |  Replacement cost = 50% of annual salary</t>
  </si>
  <si>
    <t>Department</t>
  </si>
  <si>
    <t>Total Staff</t>
  </si>
  <si>
    <t>Left</t>
  </si>
  <si>
    <t>Attrition %</t>
  </si>
  <si>
    <t>Avg Monthly Income</t>
  </si>
  <si>
    <t>Cost Per Leaver</t>
  </si>
  <si>
    <t>Total Dept Cost</t>
  </si>
  <si>
    <t>Risk</t>
  </si>
  <si>
    <t>Sales</t>
  </si>
  <si>
    <t>Human Resources</t>
  </si>
  <si>
    <t>Research &amp; Development</t>
  </si>
  <si>
    <t>TOTAL / AVERAGE</t>
  </si>
  <si>
    <t>KEY INSIGHTS</t>
  </si>
  <si>
    <t xml:space="preserve">  •  Sales has the highest attrition at 20.6% — 1 in 5 employees leaves every year.</t>
  </si>
  <si>
    <t xml:space="preserve">  •  R&amp;D contributes the most to total cost ($6.1M) due to large headcount (961 staff).</t>
  </si>
  <si>
    <t xml:space="preserve">  •  HR is small (63 people) but 19% attrition signals a cultural or management problem.</t>
  </si>
  <si>
    <t xml:space="preserve">  •  Priority: Fix Sales Rep attrition (39.8%) — they are the revenue engine of the company.</t>
  </si>
  <si>
    <t>RETENTION ROI MODEL — WHAT IF WE REDUCE ATTRITION?</t>
  </si>
  <si>
    <t>Financial return of investing in retention programmes  |  All figures in USD</t>
  </si>
  <si>
    <t>CURRENT BASELINE</t>
  </si>
  <si>
    <t>Leavers per year</t>
  </si>
  <si>
    <t>Cost per leaver (USD)</t>
  </si>
  <si>
    <t>TOTAL annual cost</t>
  </si>
  <si>
    <t>SECTION A — RETENTION INTERVENTION SCENARIOS</t>
  </si>
  <si>
    <t>Scenario</t>
  </si>
  <si>
    <t>Investment</t>
  </si>
  <si>
    <t>Reduction %</t>
  </si>
  <si>
    <t>Leavers Saved</t>
  </si>
  <si>
    <t>Cost Saving</t>
  </si>
  <si>
    <t>NET ROI</t>
  </si>
  <si>
    <t>Pay raise for bottom 20% earners</t>
  </si>
  <si>
    <t>Eliminate mandatory overtime</t>
  </si>
  <si>
    <t>Manager training programme</t>
  </si>
  <si>
    <t>Career development &amp; mentoring</t>
  </si>
  <si>
    <t>Combined retention programme</t>
  </si>
  <si>
    <t>SECTION B — SENSITIVITY TABLE  (Annual savings by scenario)</t>
  </si>
  <si>
    <t>Replace Cost Level</t>
  </si>
  <si>
    <t>3% cut</t>
  </si>
  <si>
    <t>5% cut</t>
  </si>
  <si>
    <t>8% cut</t>
  </si>
  <si>
    <t>10% cut</t>
  </si>
  <si>
    <t>15% cut</t>
  </si>
  <si>
    <t>Low (25%)</t>
  </si>
  <si>
    <t>Moderate (50% — current)</t>
  </si>
  <si>
    <t>Standard (100%)</t>
  </si>
  <si>
    <t>High (150%)</t>
  </si>
  <si>
    <t>Executive (200%)</t>
  </si>
  <si>
    <t>THE 'HOW' — RECOMMENDED ACTIONS FOR LEADERSHIP</t>
  </si>
  <si>
    <t>1. IMMEDIATE (0-3 months)</t>
  </si>
  <si>
    <t>Audit overtime in Sales — 30.5% attrition rate for OT workers vs 10.4% for non-OT</t>
  </si>
  <si>
    <t>2. SHORT TERM (3-6 months)</t>
  </si>
  <si>
    <t>Salary review for Sales Reps under $3,000/month — 39.8% of them are leaving</t>
  </si>
  <si>
    <t>3. MEDIUM TERM (6-12 months)</t>
  </si>
  <si>
    <t>Manager quality programme — majority of leavers had low job satisfaction scores (1-2)</t>
  </si>
  <si>
    <t>4. LONG TERM (12+ months)</t>
  </si>
  <si>
    <t>Build career path framework for under-25s — highest attrition age group in dataset</t>
  </si>
  <si>
    <t>SOURCE DATA — SQL ANALYSIS RESULTS</t>
  </si>
  <si>
    <t>Read-only reference — do not edit</t>
  </si>
  <si>
    <t>Attrition by Department</t>
  </si>
  <si>
    <t>Total</t>
  </si>
  <si>
    <t>Rate %</t>
  </si>
  <si>
    <t>Attrition by Job Role</t>
  </si>
  <si>
    <t>Job Role</t>
  </si>
  <si>
    <t>Sales Representative</t>
  </si>
  <si>
    <t>Laboratory Technician</t>
  </si>
  <si>
    <t>Sales Executive</t>
  </si>
  <si>
    <t>Research Scientist</t>
  </si>
  <si>
    <t>Healthcare Representative</t>
  </si>
  <si>
    <t>Manufacturing Director</t>
  </si>
  <si>
    <t>Manager</t>
  </si>
  <si>
    <t>Research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</si>
</sst>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404040"/>
      <name val="Arial"/>
    </font>
    <font>
      <b/>
      <sz val="11"/>
      <color rgb="FF0070C0"/>
      <name val="Arial"/>
    </font>
    <font>
      <sz val="11"/>
      <color rgb="FF000000"/>
      <name val="Arial"/>
    </font>
    <font>
      <b/>
      <sz val="11"/>
      <color rgb="FF404040"/>
      <name val="Arial"/>
    </font>
    <font>
      <b/>
      <sz val="11"/>
      <color rgb="FF375623"/>
      <name val="Arial"/>
    </font>
    <font>
      <b/>
      <sz val="11"/>
      <color rgb="FFC00000"/>
      <name val="Arial"/>
    </font>
    <font>
      <sz val="11"/>
      <color rgb="FF375623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6E4F0"/>
      </patternFill>
    </fill>
    <fill>
      <patternFill patternType="solid">
        <fgColor rgb="FFC000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9" fontId="5" fillId="5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 wrapText="1"/>
    </xf>
    <xf numFmtId="165" fontId="8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165" fontId="9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 wrapText="1"/>
    </xf>
    <xf numFmtId="10" fontId="6" fillId="4" borderId="1" xfId="0" applyNumberFormat="1" applyFont="1" applyFill="1" applyBorder="1" applyAlignment="1">
      <alignment horizontal="right" vertical="center"/>
    </xf>
    <xf numFmtId="165" fontId="10" fillId="7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49" fontId="9" fillId="8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 wrapText="1"/>
    </xf>
    <xf numFmtId="3" fontId="8" fillId="7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5" fillId="5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3" fontId="6" fillId="7" borderId="1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right" vertical="center"/>
    </xf>
    <xf numFmtId="164" fontId="11" fillId="6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right" vertical="center"/>
    </xf>
    <xf numFmtId="164" fontId="11" fillId="4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showGridLines="0" topLeftCell="A22" workbookViewId="0">
      <selection sqref="A1:D40"/>
    </sheetView>
  </sheetViews>
  <sheetFormatPr defaultRowHeight="15" x14ac:dyDescent="0.25"/>
  <cols>
    <col min="1" max="1" width="35" bestFit="1" customWidth="1"/>
    <col min="2" max="2" width="34.28515625" bestFit="1" customWidth="1"/>
    <col min="3" max="3" width="15.28515625" bestFit="1" customWidth="1"/>
    <col min="4" max="4" width="24.42578125" bestFit="1" customWidth="1"/>
    <col min="5" max="5" width="4" customWidth="1"/>
  </cols>
  <sheetData>
    <row r="1" spans="1:4" x14ac:dyDescent="0.25">
      <c r="A1" s="34" t="s">
        <v>0</v>
      </c>
      <c r="B1" s="35"/>
      <c r="C1" s="35"/>
      <c r="D1" s="36"/>
    </row>
    <row r="2" spans="1:4" x14ac:dyDescent="0.25">
      <c r="A2" s="37" t="s">
        <v>1</v>
      </c>
      <c r="B2" s="35"/>
      <c r="C2" s="35"/>
      <c r="D2" s="36"/>
    </row>
    <row r="4" spans="1:4" x14ac:dyDescent="0.25">
      <c r="A4" s="38" t="s">
        <v>2</v>
      </c>
      <c r="B4" s="35"/>
      <c r="C4" s="35"/>
      <c r="D4" s="36"/>
    </row>
    <row r="5" spans="1:4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25">
      <c r="A6" s="2" t="s">
        <v>7</v>
      </c>
      <c r="B6" s="3">
        <v>1470</v>
      </c>
      <c r="C6" s="4" t="s">
        <v>8</v>
      </c>
      <c r="D6" s="4" t="s">
        <v>9</v>
      </c>
    </row>
    <row r="7" spans="1:4" x14ac:dyDescent="0.25">
      <c r="A7" s="2" t="s">
        <v>10</v>
      </c>
      <c r="B7" s="3">
        <v>237</v>
      </c>
      <c r="C7" s="4" t="s">
        <v>8</v>
      </c>
      <c r="D7" s="4" t="s">
        <v>11</v>
      </c>
    </row>
    <row r="8" spans="1:4" x14ac:dyDescent="0.25">
      <c r="A8" s="2" t="s">
        <v>12</v>
      </c>
      <c r="B8" s="5">
        <f>B7/B6</f>
        <v>0.16122448979591836</v>
      </c>
      <c r="C8" s="4" t="s">
        <v>13</v>
      </c>
      <c r="D8" s="4">
        <f>B7/B6</f>
        <v>0.16122448979591836</v>
      </c>
    </row>
    <row r="9" spans="1:4" x14ac:dyDescent="0.25">
      <c r="A9" s="2" t="s">
        <v>14</v>
      </c>
      <c r="B9" s="6">
        <v>4787</v>
      </c>
      <c r="C9" s="4" t="s">
        <v>15</v>
      </c>
      <c r="D9" s="4" t="s">
        <v>16</v>
      </c>
    </row>
    <row r="10" spans="1:4" x14ac:dyDescent="0.25">
      <c r="A10" s="2" t="s">
        <v>17</v>
      </c>
      <c r="B10" s="7">
        <v>0.5</v>
      </c>
      <c r="C10" s="4" t="s">
        <v>13</v>
      </c>
      <c r="D10" s="4" t="s">
        <v>18</v>
      </c>
    </row>
    <row r="11" spans="1:4" x14ac:dyDescent="0.25">
      <c r="A11" s="2" t="s">
        <v>19</v>
      </c>
      <c r="B11" s="3">
        <v>3</v>
      </c>
      <c r="C11" s="4" t="s">
        <v>20</v>
      </c>
      <c r="D11" s="4" t="s">
        <v>21</v>
      </c>
    </row>
    <row r="12" spans="1:4" x14ac:dyDescent="0.25">
      <c r="A12" s="2" t="s">
        <v>22</v>
      </c>
      <c r="B12" s="7">
        <v>0.25</v>
      </c>
      <c r="C12" s="4" t="s">
        <v>13</v>
      </c>
      <c r="D12" s="4" t="s">
        <v>23</v>
      </c>
    </row>
    <row r="13" spans="1:4" x14ac:dyDescent="0.25">
      <c r="A13" s="2" t="s">
        <v>24</v>
      </c>
      <c r="B13" s="6">
        <v>3000</v>
      </c>
      <c r="C13" s="4" t="s">
        <v>25</v>
      </c>
      <c r="D13" s="4" t="s">
        <v>26</v>
      </c>
    </row>
    <row r="14" spans="1:4" x14ac:dyDescent="0.25">
      <c r="A14" s="2" t="s">
        <v>27</v>
      </c>
      <c r="B14" s="6">
        <v>1500</v>
      </c>
      <c r="C14" s="4" t="s">
        <v>25</v>
      </c>
      <c r="D14" s="4" t="s">
        <v>28</v>
      </c>
    </row>
    <row r="16" spans="1:4" x14ac:dyDescent="0.25">
      <c r="A16" s="38" t="s">
        <v>29</v>
      </c>
      <c r="B16" s="35"/>
      <c r="C16" s="35"/>
      <c r="D16" s="36"/>
    </row>
    <row r="17" spans="1:4" x14ac:dyDescent="0.25">
      <c r="A17" s="37" t="s">
        <v>30</v>
      </c>
      <c r="B17" s="35"/>
      <c r="C17" s="35"/>
      <c r="D17" s="36"/>
    </row>
    <row r="18" spans="1:4" x14ac:dyDescent="0.25">
      <c r="A18" s="1" t="s">
        <v>31</v>
      </c>
      <c r="B18" s="1" t="s">
        <v>32</v>
      </c>
      <c r="C18" s="1" t="s">
        <v>33</v>
      </c>
      <c r="D18" s="1"/>
    </row>
    <row r="19" spans="1:4" x14ac:dyDescent="0.25">
      <c r="A19" s="4" t="s">
        <v>34</v>
      </c>
      <c r="B19" s="4" t="s">
        <v>35</v>
      </c>
      <c r="C19" s="8">
        <f>B9*12</f>
        <v>57444</v>
      </c>
      <c r="D19" s="4" t="s">
        <v>36</v>
      </c>
    </row>
    <row r="20" spans="1:4" x14ac:dyDescent="0.25">
      <c r="A20" s="2" t="s">
        <v>37</v>
      </c>
      <c r="B20" s="4" t="s">
        <v>38</v>
      </c>
      <c r="C20" s="9">
        <f>C19*B10</f>
        <v>28722</v>
      </c>
      <c r="D20" s="2"/>
    </row>
    <row r="21" spans="1:4" x14ac:dyDescent="0.25">
      <c r="A21" s="2" t="s">
        <v>39</v>
      </c>
      <c r="B21" s="4" t="s">
        <v>40</v>
      </c>
      <c r="C21" s="9">
        <f>B9*B11*B12</f>
        <v>3590.25</v>
      </c>
      <c r="D21" s="2"/>
    </row>
    <row r="22" spans="1:4" x14ac:dyDescent="0.25">
      <c r="A22" s="2" t="s">
        <v>41</v>
      </c>
      <c r="B22" s="4" t="s">
        <v>42</v>
      </c>
      <c r="C22" s="9">
        <f>B13</f>
        <v>3000</v>
      </c>
      <c r="D22" s="2"/>
    </row>
    <row r="23" spans="1:4" x14ac:dyDescent="0.25">
      <c r="A23" s="2" t="s">
        <v>43</v>
      </c>
      <c r="B23" s="4" t="s">
        <v>42</v>
      </c>
      <c r="C23" s="9">
        <f>B14</f>
        <v>1500</v>
      </c>
      <c r="D23" s="2"/>
    </row>
    <row r="24" spans="1:4" x14ac:dyDescent="0.25">
      <c r="A24" s="10" t="s">
        <v>44</v>
      </c>
      <c r="B24" s="4" t="s">
        <v>45</v>
      </c>
      <c r="C24" s="11">
        <f>SUM(C20:C23)</f>
        <v>36812.25</v>
      </c>
      <c r="D24" s="12" t="s">
        <v>46</v>
      </c>
    </row>
    <row r="26" spans="1:4" x14ac:dyDescent="0.25">
      <c r="A26" s="38" t="s">
        <v>47</v>
      </c>
      <c r="B26" s="35"/>
      <c r="C26" s="35"/>
      <c r="D26" s="36"/>
    </row>
    <row r="27" spans="1:4" x14ac:dyDescent="0.25">
      <c r="A27" s="1" t="s">
        <v>48</v>
      </c>
      <c r="B27" s="1" t="s">
        <v>49</v>
      </c>
      <c r="C27" s="1" t="s">
        <v>50</v>
      </c>
      <c r="D27" s="1" t="s">
        <v>51</v>
      </c>
    </row>
    <row r="28" spans="1:4" x14ac:dyDescent="0.25">
      <c r="A28" s="13" t="s">
        <v>52</v>
      </c>
      <c r="B28" s="4" t="s">
        <v>53</v>
      </c>
      <c r="C28" s="14">
        <f>C24*B7</f>
        <v>8724503.25</v>
      </c>
      <c r="D28" s="15" t="s">
        <v>54</v>
      </c>
    </row>
    <row r="29" spans="1:4" x14ac:dyDescent="0.25">
      <c r="A29" s="2" t="s">
        <v>55</v>
      </c>
      <c r="B29" s="4" t="s">
        <v>56</v>
      </c>
      <c r="C29" s="9">
        <f>C28/12</f>
        <v>727041.9375</v>
      </c>
      <c r="D29" s="2"/>
    </row>
    <row r="30" spans="1:4" x14ac:dyDescent="0.25">
      <c r="A30" s="2" t="s">
        <v>57</v>
      </c>
      <c r="B30" s="4" t="s">
        <v>58</v>
      </c>
      <c r="C30" s="16">
        <f>C28/(B9*12*B6)</f>
        <v>0.10331864467115444</v>
      </c>
      <c r="D30" s="2"/>
    </row>
    <row r="31" spans="1:4" x14ac:dyDescent="0.25">
      <c r="A31" s="12" t="s">
        <v>59</v>
      </c>
      <c r="B31" s="4" t="s">
        <v>60</v>
      </c>
      <c r="C31" s="17">
        <f>C28*0.05</f>
        <v>436225.16250000003</v>
      </c>
      <c r="D31" s="12" t="s">
        <v>61</v>
      </c>
    </row>
    <row r="32" spans="1:4" x14ac:dyDescent="0.25">
      <c r="A32" s="12" t="s">
        <v>62</v>
      </c>
      <c r="B32" s="4" t="s">
        <v>63</v>
      </c>
      <c r="C32" s="17">
        <f>C28*0.1</f>
        <v>872450.32500000007</v>
      </c>
      <c r="D32" s="12" t="s">
        <v>61</v>
      </c>
    </row>
    <row r="33" spans="1:4" x14ac:dyDescent="0.25">
      <c r="A33" s="12" t="s">
        <v>64</v>
      </c>
      <c r="B33" s="4" t="s">
        <v>65</v>
      </c>
      <c r="C33" s="17">
        <f>C28*0.2</f>
        <v>1744900.6500000001</v>
      </c>
      <c r="D33" s="12" t="s">
        <v>61</v>
      </c>
    </row>
    <row r="36" spans="1:4" x14ac:dyDescent="0.25">
      <c r="A36" s="39" t="s">
        <v>66</v>
      </c>
      <c r="B36" s="35"/>
      <c r="C36" s="35"/>
      <c r="D36" s="36"/>
    </row>
    <row r="37" spans="1:4" x14ac:dyDescent="0.25">
      <c r="A37" s="18" t="s">
        <v>67</v>
      </c>
      <c r="B37" s="4" t="s">
        <v>68</v>
      </c>
    </row>
    <row r="38" spans="1:4" x14ac:dyDescent="0.25">
      <c r="A38" s="18" t="s">
        <v>69</v>
      </c>
      <c r="B38" s="4" t="s">
        <v>70</v>
      </c>
    </row>
    <row r="39" spans="1:4" x14ac:dyDescent="0.25">
      <c r="A39" s="18" t="s">
        <v>71</v>
      </c>
      <c r="B39" s="4" t="s">
        <v>72</v>
      </c>
    </row>
    <row r="40" spans="1:4" x14ac:dyDescent="0.25">
      <c r="A40" s="18" t="s">
        <v>73</v>
      </c>
      <c r="B40" s="4" t="s">
        <v>74</v>
      </c>
    </row>
  </sheetData>
  <mergeCells count="7">
    <mergeCell ref="A36:D36"/>
    <mergeCell ref="A1:D1"/>
    <mergeCell ref="A17:D17"/>
    <mergeCell ref="A4:D4"/>
    <mergeCell ref="A26:D26"/>
    <mergeCell ref="A16:D16"/>
    <mergeCell ref="A2:D2"/>
  </mergeCells>
  <pageMargins left="0" right="0" top="0" bottom="0" header="0" footer="0"/>
  <pageSetup paperSize="1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workbookViewId="0">
      <selection sqref="A1:H15"/>
    </sheetView>
  </sheetViews>
  <sheetFormatPr defaultRowHeight="15" x14ac:dyDescent="0.25"/>
  <cols>
    <col min="1" max="1" width="27.5703125" bestFit="1" customWidth="1"/>
    <col min="2" max="2" width="11.42578125" bestFit="1" customWidth="1"/>
    <col min="3" max="3" width="5" bestFit="1" customWidth="1"/>
    <col min="4" max="4" width="11.42578125" bestFit="1" customWidth="1"/>
    <col min="5" max="5" width="21.7109375" bestFit="1" customWidth="1"/>
    <col min="6" max="6" width="17.85546875" bestFit="1" customWidth="1"/>
    <col min="7" max="7" width="17" bestFit="1" customWidth="1"/>
    <col min="8" max="8" width="9.85546875" bestFit="1" customWidth="1"/>
  </cols>
  <sheetData>
    <row r="1" spans="1:8" x14ac:dyDescent="0.25">
      <c r="A1" s="34" t="s">
        <v>75</v>
      </c>
      <c r="B1" s="35"/>
      <c r="C1" s="35"/>
      <c r="D1" s="35"/>
      <c r="E1" s="35"/>
      <c r="F1" s="35"/>
      <c r="G1" s="35"/>
      <c r="H1" s="36"/>
    </row>
    <row r="2" spans="1:8" x14ac:dyDescent="0.25">
      <c r="A2" s="37" t="s">
        <v>76</v>
      </c>
      <c r="B2" s="35"/>
      <c r="C2" s="35"/>
      <c r="D2" s="35"/>
      <c r="E2" s="35"/>
      <c r="F2" s="35"/>
      <c r="G2" s="35"/>
      <c r="H2" s="36"/>
    </row>
    <row r="4" spans="1:8" x14ac:dyDescent="0.25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</row>
    <row r="5" spans="1:8" x14ac:dyDescent="0.25">
      <c r="A5" s="19" t="s">
        <v>85</v>
      </c>
      <c r="B5" s="3">
        <v>446</v>
      </c>
      <c r="C5" s="3">
        <v>92</v>
      </c>
      <c r="D5" s="5">
        <f>C5/B5</f>
        <v>0.20627802690582961</v>
      </c>
      <c r="E5" s="6">
        <v>4787</v>
      </c>
      <c r="F5" s="9">
        <f>(E5*12)*0.5 + E5*3*0.25 + 3000 + 1500</f>
        <v>36812.25</v>
      </c>
      <c r="G5" s="9">
        <f>F5*C5</f>
        <v>3386727</v>
      </c>
      <c r="H5" s="20" t="str">
        <f>IF(D5&gt;0.25,"HIGH",IF(D5&gt;0.15,"MEDIUM","LOW"))</f>
        <v>MEDIUM</v>
      </c>
    </row>
    <row r="6" spans="1:8" x14ac:dyDescent="0.25">
      <c r="A6" s="19" t="s">
        <v>86</v>
      </c>
      <c r="B6" s="3">
        <v>63</v>
      </c>
      <c r="C6" s="3">
        <v>12</v>
      </c>
      <c r="D6" s="5">
        <f>C6/B6</f>
        <v>0.19047619047619047</v>
      </c>
      <c r="E6" s="6">
        <v>4800</v>
      </c>
      <c r="F6" s="9">
        <f>(E6*12)*0.5 + E6*3*0.25 + 3000 + 1500</f>
        <v>36900</v>
      </c>
      <c r="G6" s="9">
        <f>F6*C6</f>
        <v>442800</v>
      </c>
      <c r="H6" s="20" t="str">
        <f>IF(D6&gt;0.25,"HIGH",IF(D6&gt;0.15,"MEDIUM","LOW"))</f>
        <v>MEDIUM</v>
      </c>
    </row>
    <row r="7" spans="1:8" x14ac:dyDescent="0.25">
      <c r="A7" s="19" t="s">
        <v>87</v>
      </c>
      <c r="B7" s="3">
        <v>961</v>
      </c>
      <c r="C7" s="3">
        <v>133</v>
      </c>
      <c r="D7" s="5">
        <f>C7/B7</f>
        <v>0.13839750260145681</v>
      </c>
      <c r="E7" s="6">
        <v>6200</v>
      </c>
      <c r="F7" s="9">
        <f>(E7*12)*0.5 + E7*3*0.25 + 3000 + 1500</f>
        <v>46350</v>
      </c>
      <c r="G7" s="9">
        <f>F7*C7</f>
        <v>6164550</v>
      </c>
      <c r="H7" s="20" t="str">
        <f>IF(D7&gt;0.25,"HIGH",IF(D7&gt;0.15,"MEDIUM","LOW"))</f>
        <v>LOW</v>
      </c>
    </row>
    <row r="9" spans="1:8" x14ac:dyDescent="0.25">
      <c r="A9" s="21" t="s">
        <v>88</v>
      </c>
      <c r="B9" s="22">
        <f>SUM(B5:B7)</f>
        <v>1470</v>
      </c>
      <c r="C9" s="22">
        <f>SUM(C5:C7)</f>
        <v>237</v>
      </c>
      <c r="D9" s="23">
        <f>C9/B9</f>
        <v>0.16122448979591836</v>
      </c>
      <c r="E9" s="11">
        <f>AVERAGE(E5:E7)</f>
        <v>5262.333333333333</v>
      </c>
      <c r="F9" s="24"/>
      <c r="G9" s="11">
        <f>SUM(G5:G7)</f>
        <v>9994077</v>
      </c>
    </row>
    <row r="11" spans="1:8" x14ac:dyDescent="0.25">
      <c r="A11" s="38" t="s">
        <v>89</v>
      </c>
      <c r="B11" s="35"/>
      <c r="C11" s="35"/>
      <c r="D11" s="35"/>
      <c r="E11" s="35"/>
      <c r="F11" s="35"/>
      <c r="G11" s="35"/>
      <c r="H11" s="36"/>
    </row>
    <row r="12" spans="1:8" x14ac:dyDescent="0.25">
      <c r="A12" s="40" t="s">
        <v>90</v>
      </c>
      <c r="B12" s="35"/>
      <c r="C12" s="35"/>
      <c r="D12" s="35"/>
      <c r="E12" s="35"/>
      <c r="F12" s="35"/>
      <c r="G12" s="35"/>
      <c r="H12" s="36"/>
    </row>
    <row r="13" spans="1:8" x14ac:dyDescent="0.25">
      <c r="A13" s="40" t="s">
        <v>91</v>
      </c>
      <c r="B13" s="35"/>
      <c r="C13" s="35"/>
      <c r="D13" s="35"/>
      <c r="E13" s="35"/>
      <c r="F13" s="35"/>
      <c r="G13" s="35"/>
      <c r="H13" s="36"/>
    </row>
    <row r="14" spans="1:8" x14ac:dyDescent="0.25">
      <c r="A14" s="40" t="s">
        <v>92</v>
      </c>
      <c r="B14" s="35"/>
      <c r="C14" s="35"/>
      <c r="D14" s="35"/>
      <c r="E14" s="35"/>
      <c r="F14" s="35"/>
      <c r="G14" s="35"/>
      <c r="H14" s="36"/>
    </row>
    <row r="15" spans="1:8" x14ac:dyDescent="0.25">
      <c r="A15" s="40" t="s">
        <v>93</v>
      </c>
      <c r="B15" s="35"/>
      <c r="C15" s="35"/>
      <c r="D15" s="35"/>
      <c r="E15" s="35"/>
      <c r="F15" s="35"/>
      <c r="G15" s="35"/>
      <c r="H15" s="36"/>
    </row>
  </sheetData>
  <mergeCells count="7">
    <mergeCell ref="A1:H1"/>
    <mergeCell ref="A12:H12"/>
    <mergeCell ref="A15:H15"/>
    <mergeCell ref="A2:H2"/>
    <mergeCell ref="A13:H13"/>
    <mergeCell ref="A11:H11"/>
    <mergeCell ref="A14:H14"/>
  </mergeCells>
  <conditionalFormatting sqref="D5:D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8">
    <cfRule type="dataBar" priority="2">
      <dataBar>
        <cfvo type="min"/>
        <cfvo type="max"/>
        <color rgb="FF2E75B6"/>
      </dataBar>
    </cfRule>
  </conditionalFormatting>
  <pageMargins left="0" right="0" top="0" bottom="0" header="0" footer="0"/>
  <pageSetup paperSize="1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showGridLines="0" workbookViewId="0">
      <selection sqref="A1:F31"/>
    </sheetView>
  </sheetViews>
  <sheetFormatPr defaultRowHeight="15" x14ac:dyDescent="0.25"/>
  <cols>
    <col min="1" max="1" width="34" customWidth="1"/>
    <col min="2" max="2" width="12.28515625" bestFit="1" customWidth="1"/>
    <col min="3" max="3" width="14" bestFit="1" customWidth="1"/>
    <col min="4" max="4" width="16.42578125" bestFit="1" customWidth="1"/>
    <col min="5" max="5" width="13.42578125" bestFit="1" customWidth="1"/>
    <col min="6" max="6" width="11.28515625" bestFit="1" customWidth="1"/>
  </cols>
  <sheetData>
    <row r="1" spans="1:6" x14ac:dyDescent="0.25">
      <c r="A1" s="34" t="s">
        <v>94</v>
      </c>
      <c r="B1" s="35"/>
      <c r="C1" s="35"/>
      <c r="D1" s="35"/>
      <c r="E1" s="35"/>
      <c r="F1" s="36"/>
    </row>
    <row r="2" spans="1:6" x14ac:dyDescent="0.25">
      <c r="A2" s="37" t="s">
        <v>95</v>
      </c>
      <c r="B2" s="35"/>
      <c r="C2" s="35"/>
      <c r="D2" s="35"/>
      <c r="E2" s="35"/>
      <c r="F2" s="36"/>
    </row>
    <row r="4" spans="1:6" x14ac:dyDescent="0.25">
      <c r="A4" s="39" t="s">
        <v>96</v>
      </c>
      <c r="B4" s="35"/>
      <c r="C4" s="35"/>
      <c r="D4" s="35"/>
      <c r="E4" s="35"/>
      <c r="F4" s="36"/>
    </row>
    <row r="5" spans="1:6" x14ac:dyDescent="0.25">
      <c r="A5" s="2" t="s">
        <v>7</v>
      </c>
      <c r="B5" s="3">
        <v>1470</v>
      </c>
    </row>
    <row r="6" spans="1:6" x14ac:dyDescent="0.25">
      <c r="A6" s="2" t="s">
        <v>97</v>
      </c>
      <c r="B6" s="3">
        <v>237</v>
      </c>
    </row>
    <row r="7" spans="1:6" x14ac:dyDescent="0.25">
      <c r="A7" s="2" t="s">
        <v>12</v>
      </c>
      <c r="B7" s="25">
        <v>0.161</v>
      </c>
    </row>
    <row r="8" spans="1:6" x14ac:dyDescent="0.25">
      <c r="A8" s="2" t="s">
        <v>98</v>
      </c>
      <c r="B8" s="6">
        <v>36812</v>
      </c>
    </row>
    <row r="9" spans="1:6" x14ac:dyDescent="0.25">
      <c r="A9" s="13" t="s">
        <v>99</v>
      </c>
      <c r="B9" s="14">
        <f>B6*B8</f>
        <v>8724444</v>
      </c>
    </row>
    <row r="11" spans="1:6" x14ac:dyDescent="0.25">
      <c r="A11" s="38" t="s">
        <v>100</v>
      </c>
      <c r="B11" s="35"/>
      <c r="C11" s="35"/>
      <c r="D11" s="35"/>
      <c r="E11" s="35"/>
      <c r="F11" s="36"/>
    </row>
    <row r="12" spans="1:6" x14ac:dyDescent="0.25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</row>
    <row r="13" spans="1:6" x14ac:dyDescent="0.25">
      <c r="A13" s="2" t="s">
        <v>107</v>
      </c>
      <c r="B13" s="6">
        <v>500000</v>
      </c>
      <c r="C13" s="7">
        <v>0.05</v>
      </c>
      <c r="D13" s="26">
        <f>ROUND(B6*C13,0)</f>
        <v>12</v>
      </c>
      <c r="E13" s="9">
        <f>D13*B8</f>
        <v>441744</v>
      </c>
      <c r="F13" s="9">
        <f>E13-B13</f>
        <v>-58256</v>
      </c>
    </row>
    <row r="14" spans="1:6" x14ac:dyDescent="0.25">
      <c r="A14" s="2" t="s">
        <v>108</v>
      </c>
      <c r="B14" s="6">
        <v>150000</v>
      </c>
      <c r="C14" s="7">
        <v>0.08</v>
      </c>
      <c r="D14" s="26">
        <f>ROUND(B6*C14,0)</f>
        <v>19</v>
      </c>
      <c r="E14" s="9">
        <f>D14*B8</f>
        <v>699428</v>
      </c>
      <c r="F14" s="9">
        <f>E14-B14</f>
        <v>549428</v>
      </c>
    </row>
    <row r="15" spans="1:6" x14ac:dyDescent="0.25">
      <c r="A15" s="2" t="s">
        <v>109</v>
      </c>
      <c r="B15" s="6">
        <v>80000</v>
      </c>
      <c r="C15" s="7">
        <v>0.04</v>
      </c>
      <c r="D15" s="26">
        <f>ROUND(B6*C15,0)</f>
        <v>9</v>
      </c>
      <c r="E15" s="9">
        <f>D15*B8</f>
        <v>331308</v>
      </c>
      <c r="F15" s="9">
        <f>E15-B15</f>
        <v>251308</v>
      </c>
    </row>
    <row r="16" spans="1:6" x14ac:dyDescent="0.25">
      <c r="A16" s="2" t="s">
        <v>110</v>
      </c>
      <c r="B16" s="6">
        <v>120000</v>
      </c>
      <c r="C16" s="7">
        <v>0.06</v>
      </c>
      <c r="D16" s="26">
        <f>ROUND(B6*C16,0)</f>
        <v>14</v>
      </c>
      <c r="E16" s="9">
        <f>D16*B8</f>
        <v>515368</v>
      </c>
      <c r="F16" s="9">
        <f>E16-B16</f>
        <v>395368</v>
      </c>
    </row>
    <row r="17" spans="1:6" x14ac:dyDescent="0.25">
      <c r="A17" s="10" t="s">
        <v>111</v>
      </c>
      <c r="B17" s="6">
        <v>800000</v>
      </c>
      <c r="C17" s="7">
        <v>0.2</v>
      </c>
      <c r="D17" s="27">
        <f>ROUND(B6*C17,0)</f>
        <v>47</v>
      </c>
      <c r="E17" s="11">
        <f>D17*B8</f>
        <v>1730164</v>
      </c>
      <c r="F17" s="11">
        <f>E17-B17</f>
        <v>930164</v>
      </c>
    </row>
    <row r="19" spans="1:6" x14ac:dyDescent="0.25">
      <c r="A19" s="38" t="s">
        <v>112</v>
      </c>
      <c r="B19" s="35"/>
      <c r="C19" s="35"/>
      <c r="D19" s="35"/>
      <c r="E19" s="35"/>
      <c r="F19" s="36"/>
    </row>
    <row r="20" spans="1:6" x14ac:dyDescent="0.25">
      <c r="A20" s="1" t="s">
        <v>113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118</v>
      </c>
    </row>
    <row r="21" spans="1:6" x14ac:dyDescent="0.25">
      <c r="A21" s="4" t="s">
        <v>119</v>
      </c>
      <c r="B21" s="9">
        <f>ROUND(237*0.03*((4787*12)*0.25+4787*3*0.25+3000+1500),0)</f>
        <v>159628</v>
      </c>
      <c r="C21" s="9">
        <f>ROUND(237*0.05*((4787*12)*0.25+4787*3*0.25+3000+1500),0)</f>
        <v>266047</v>
      </c>
      <c r="D21" s="9">
        <f>ROUND(237*0.08*((4787*12)*0.25+4787*3*0.25+3000+1500),0)</f>
        <v>425676</v>
      </c>
      <c r="E21" s="9">
        <f>ROUND(237*0.1*((4787*12)*0.25+4787*3*0.25+3000+1500),0)</f>
        <v>532095</v>
      </c>
      <c r="F21" s="9">
        <f>ROUND(237*0.15*((4787*12)*0.25+4787*3*0.25+3000+1500),0)</f>
        <v>798142</v>
      </c>
    </row>
    <row r="22" spans="1:6" x14ac:dyDescent="0.25">
      <c r="A22" s="4" t="s">
        <v>120</v>
      </c>
      <c r="B22" s="9">
        <f>ROUND(237*0.03*((4787*12)*0.5+4787*3*0.25+3000+1500),0)</f>
        <v>261735</v>
      </c>
      <c r="C22" s="9">
        <f>ROUND(237*0.05*((4787*12)*0.5+4787*3*0.25+3000+1500),0)</f>
        <v>436225</v>
      </c>
      <c r="D22" s="9">
        <f>ROUND(237*0.08*((4787*12)*0.5+4787*3*0.25+3000+1500),0)</f>
        <v>697960</v>
      </c>
      <c r="E22" s="9">
        <f>ROUND(237*0.1*((4787*12)*0.5+4787*3*0.25+3000+1500),0)</f>
        <v>872450</v>
      </c>
      <c r="F22" s="9">
        <f>ROUND(237*0.15*((4787*12)*0.5+4787*3*0.25+3000+1500),0)</f>
        <v>1308675</v>
      </c>
    </row>
    <row r="23" spans="1:6" x14ac:dyDescent="0.25">
      <c r="A23" s="4" t="s">
        <v>121</v>
      </c>
      <c r="B23" s="9">
        <f>ROUND(237*0.03*((4787*12)*1+4787*3*0.25+3000+1500),0)</f>
        <v>465949</v>
      </c>
      <c r="C23" s="9">
        <f>ROUND(237*0.05*((4787*12)*1+4787*3*0.25+3000+1500),0)</f>
        <v>776581</v>
      </c>
      <c r="D23" s="9">
        <f>ROUND(237*0.08*((4787*12)*1+4787*3*0.25+3000+1500),0)</f>
        <v>1242529</v>
      </c>
      <c r="E23" s="9">
        <f>ROUND(237*0.1*((4787*12)*1+4787*3*0.25+3000+1500),0)</f>
        <v>1553162</v>
      </c>
      <c r="F23" s="9">
        <f>ROUND(237*0.15*((4787*12)*1+4787*3*0.25+3000+1500),0)</f>
        <v>2329743</v>
      </c>
    </row>
    <row r="24" spans="1:6" x14ac:dyDescent="0.25">
      <c r="A24" s="4" t="s">
        <v>122</v>
      </c>
      <c r="B24" s="9">
        <f>ROUND(237*0.03*((4787*12)*1.5+4787*3*0.25+3000+1500),0)</f>
        <v>670162</v>
      </c>
      <c r="C24" s="9">
        <f>ROUND(237*0.05*((4787*12)*1.5+4787*3*0.25+3000+1500),0)</f>
        <v>1116937</v>
      </c>
      <c r="D24" s="9">
        <f>ROUND(237*0.08*((4787*12)*1.5+4787*3*0.25+3000+1500),0)</f>
        <v>1787099</v>
      </c>
      <c r="E24" s="9">
        <f>ROUND(237*0.1*((4787*12)*1.5+4787*3*0.25+3000+1500),0)</f>
        <v>2233873</v>
      </c>
      <c r="F24" s="9">
        <f>ROUND(237*0.15*((4787*12)*1.5+4787*3*0.25+3000+1500),0)</f>
        <v>3350810</v>
      </c>
    </row>
    <row r="25" spans="1:6" x14ac:dyDescent="0.25">
      <c r="A25" s="4" t="s">
        <v>123</v>
      </c>
      <c r="B25" s="9">
        <f>ROUND(237*0.03*((4787*12)*2+4787*3*0.25+3000+1500),0)</f>
        <v>874375</v>
      </c>
      <c r="C25" s="9">
        <f>ROUND(237*0.05*((4787*12)*2+4787*3*0.25+3000+1500),0)</f>
        <v>1457292</v>
      </c>
      <c r="D25" s="9">
        <f>ROUND(237*0.08*((4787*12)*2+4787*3*0.25+3000+1500),0)</f>
        <v>2331668</v>
      </c>
      <c r="E25" s="9">
        <f>ROUND(237*0.1*((4787*12)*2+4787*3*0.25+3000+1500),0)</f>
        <v>2914585</v>
      </c>
      <c r="F25" s="9">
        <f>ROUND(237*0.15*((4787*12)*2+4787*3*0.25+3000+1500),0)</f>
        <v>4371877</v>
      </c>
    </row>
    <row r="27" spans="1:6" x14ac:dyDescent="0.25">
      <c r="A27" s="38" t="s">
        <v>124</v>
      </c>
      <c r="B27" s="35"/>
      <c r="C27" s="35"/>
      <c r="D27" s="35"/>
      <c r="E27" s="35"/>
      <c r="F27" s="36"/>
    </row>
    <row r="28" spans="1:6" x14ac:dyDescent="0.25">
      <c r="A28" s="21" t="s">
        <v>125</v>
      </c>
      <c r="B28" s="40" t="s">
        <v>126</v>
      </c>
      <c r="C28" s="35"/>
      <c r="D28" s="35"/>
      <c r="E28" s="35"/>
      <c r="F28" s="36"/>
    </row>
    <row r="29" spans="1:6" x14ac:dyDescent="0.25">
      <c r="A29" s="21" t="s">
        <v>127</v>
      </c>
      <c r="B29" s="40" t="s">
        <v>128</v>
      </c>
      <c r="C29" s="35"/>
      <c r="D29" s="35"/>
      <c r="E29" s="35"/>
      <c r="F29" s="36"/>
    </row>
    <row r="30" spans="1:6" x14ac:dyDescent="0.25">
      <c r="A30" s="21" t="s">
        <v>129</v>
      </c>
      <c r="B30" s="40" t="s">
        <v>130</v>
      </c>
      <c r="C30" s="35"/>
      <c r="D30" s="35"/>
      <c r="E30" s="35"/>
      <c r="F30" s="36"/>
    </row>
    <row r="31" spans="1:6" x14ac:dyDescent="0.25">
      <c r="A31" s="21" t="s">
        <v>131</v>
      </c>
      <c r="B31" s="40" t="s">
        <v>132</v>
      </c>
      <c r="C31" s="35"/>
      <c r="D31" s="35"/>
      <c r="E31" s="35"/>
      <c r="F31" s="36"/>
    </row>
  </sheetData>
  <mergeCells count="10">
    <mergeCell ref="A1:F1"/>
    <mergeCell ref="B28:F28"/>
    <mergeCell ref="A27:F27"/>
    <mergeCell ref="B31:F31"/>
    <mergeCell ref="A4:F4"/>
    <mergeCell ref="B30:F30"/>
    <mergeCell ref="A2:F2"/>
    <mergeCell ref="A11:F11"/>
    <mergeCell ref="B29:F29"/>
    <mergeCell ref="A19:F19"/>
  </mergeCells>
  <conditionalFormatting sqref="B21:F25">
    <cfRule type="colorScale" priority="1">
      <colorScale>
        <cfvo type="min"/>
        <cfvo type="max"/>
        <color rgb="FFFFFFFF"/>
        <color rgb="FF375623"/>
      </colorScale>
    </cfRule>
  </conditionalFormatting>
  <pageMargins left="0" right="0" top="0" bottom="0" header="0" footer="0"/>
  <pageSetup paperSize="1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tabSelected="1" workbookViewId="0">
      <selection sqref="A1:D21"/>
    </sheetView>
  </sheetViews>
  <sheetFormatPr defaultRowHeight="15" x14ac:dyDescent="0.25"/>
  <cols>
    <col min="1" max="1" width="26.140625" bestFit="1" customWidth="1"/>
    <col min="2" max="2" width="6.140625" bestFit="1" customWidth="1"/>
    <col min="3" max="3" width="5" bestFit="1" customWidth="1"/>
    <col min="4" max="4" width="8.140625" bestFit="1" customWidth="1"/>
  </cols>
  <sheetData>
    <row r="1" spans="1:4" x14ac:dyDescent="0.25">
      <c r="A1" s="38" t="s">
        <v>133</v>
      </c>
      <c r="B1" s="35"/>
      <c r="C1" s="35"/>
      <c r="D1" s="36"/>
    </row>
    <row r="2" spans="1:4" x14ac:dyDescent="0.25">
      <c r="A2" s="41" t="s">
        <v>134</v>
      </c>
      <c r="B2" s="35"/>
      <c r="C2" s="35"/>
      <c r="D2" s="36"/>
    </row>
    <row r="4" spans="1:4" x14ac:dyDescent="0.25">
      <c r="A4" s="39" t="s">
        <v>135</v>
      </c>
      <c r="B4" s="35"/>
      <c r="C4" s="35"/>
      <c r="D4" s="36"/>
    </row>
    <row r="5" spans="1:4" x14ac:dyDescent="0.25">
      <c r="A5" s="1" t="s">
        <v>77</v>
      </c>
      <c r="B5" s="1" t="s">
        <v>136</v>
      </c>
      <c r="C5" s="1" t="s">
        <v>79</v>
      </c>
      <c r="D5" s="1" t="s">
        <v>137</v>
      </c>
    </row>
    <row r="6" spans="1:4" x14ac:dyDescent="0.25">
      <c r="A6" s="28" t="s">
        <v>85</v>
      </c>
      <c r="B6" s="29">
        <v>446</v>
      </c>
      <c r="C6" s="29">
        <v>92</v>
      </c>
      <c r="D6" s="30">
        <v>0.20599999999999999</v>
      </c>
    </row>
    <row r="7" spans="1:4" x14ac:dyDescent="0.25">
      <c r="A7" s="28" t="s">
        <v>86</v>
      </c>
      <c r="B7" s="29">
        <v>63</v>
      </c>
      <c r="C7" s="29">
        <v>12</v>
      </c>
      <c r="D7" s="30">
        <v>0.19</v>
      </c>
    </row>
    <row r="8" spans="1:4" x14ac:dyDescent="0.25">
      <c r="A8" s="28" t="s">
        <v>87</v>
      </c>
      <c r="B8" s="29">
        <v>961</v>
      </c>
      <c r="C8" s="29">
        <v>133</v>
      </c>
      <c r="D8" s="30">
        <v>0.13800000000000001</v>
      </c>
    </row>
    <row r="10" spans="1:4" x14ac:dyDescent="0.25">
      <c r="A10" s="39" t="s">
        <v>138</v>
      </c>
      <c r="B10" s="35"/>
      <c r="C10" s="35"/>
      <c r="D10" s="36"/>
    </row>
    <row r="11" spans="1:4" x14ac:dyDescent="0.25">
      <c r="A11" s="1" t="s">
        <v>139</v>
      </c>
      <c r="B11" s="1" t="s">
        <v>136</v>
      </c>
      <c r="C11" s="1" t="s">
        <v>79</v>
      </c>
      <c r="D11" s="1" t="s">
        <v>137</v>
      </c>
    </row>
    <row r="12" spans="1:4" x14ac:dyDescent="0.25">
      <c r="A12" s="28" t="s">
        <v>140</v>
      </c>
      <c r="B12" s="29">
        <v>83</v>
      </c>
      <c r="C12" s="29">
        <v>33</v>
      </c>
      <c r="D12" s="30">
        <v>0.39800000000000002</v>
      </c>
    </row>
    <row r="13" spans="1:4" x14ac:dyDescent="0.25">
      <c r="A13" s="31" t="s">
        <v>141</v>
      </c>
      <c r="B13" s="32">
        <v>259</v>
      </c>
      <c r="C13" s="32">
        <v>62</v>
      </c>
      <c r="D13" s="33">
        <v>0.23899999999999999</v>
      </c>
    </row>
    <row r="14" spans="1:4" x14ac:dyDescent="0.25">
      <c r="A14" s="28" t="s">
        <v>86</v>
      </c>
      <c r="B14" s="29">
        <v>52</v>
      </c>
      <c r="C14" s="29">
        <v>12</v>
      </c>
      <c r="D14" s="30">
        <v>0.23100000000000001</v>
      </c>
    </row>
    <row r="15" spans="1:4" x14ac:dyDescent="0.25">
      <c r="A15" s="31" t="s">
        <v>142</v>
      </c>
      <c r="B15" s="32">
        <v>326</v>
      </c>
      <c r="C15" s="32">
        <v>57</v>
      </c>
      <c r="D15" s="33">
        <v>0.17499999999999999</v>
      </c>
    </row>
    <row r="16" spans="1:4" x14ac:dyDescent="0.25">
      <c r="A16" s="28" t="s">
        <v>143</v>
      </c>
      <c r="B16" s="29">
        <v>292</v>
      </c>
      <c r="C16" s="29">
        <v>47</v>
      </c>
      <c r="D16" s="30">
        <v>0.161</v>
      </c>
    </row>
    <row r="17" spans="1:4" x14ac:dyDescent="0.25">
      <c r="A17" s="31" t="s">
        <v>144</v>
      </c>
      <c r="B17" s="32">
        <v>131</v>
      </c>
      <c r="C17" s="32">
        <v>9</v>
      </c>
      <c r="D17" s="33">
        <v>6.9000000000000006E-2</v>
      </c>
    </row>
    <row r="18" spans="1:4" x14ac:dyDescent="0.25">
      <c r="A18" s="28" t="s">
        <v>145</v>
      </c>
      <c r="B18" s="29">
        <v>145</v>
      </c>
      <c r="C18" s="29">
        <v>10</v>
      </c>
      <c r="D18" s="30">
        <v>6.9000000000000006E-2</v>
      </c>
    </row>
    <row r="19" spans="1:4" x14ac:dyDescent="0.25">
      <c r="A19" s="31" t="s">
        <v>146</v>
      </c>
      <c r="B19" s="32">
        <v>102</v>
      </c>
      <c r="C19" s="32">
        <v>5</v>
      </c>
      <c r="D19" s="33">
        <v>4.9000000000000002E-2</v>
      </c>
    </row>
    <row r="20" spans="1:4" x14ac:dyDescent="0.25">
      <c r="A20" s="28" t="s">
        <v>147</v>
      </c>
      <c r="B20" s="29">
        <v>80</v>
      </c>
      <c r="C20" s="29">
        <v>2</v>
      </c>
      <c r="D20" s="30">
        <v>2.5000000000000001E-2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1_Cost Calculator</vt:lpstr>
      <vt:lpstr>2_Dept Risk Scorecard</vt:lpstr>
      <vt:lpstr>3_Retention ROI Model</vt:lpstr>
      <vt:lpstr>4_Source Data</vt:lpstr>
      <vt:lpstr>'1_Cost Calculator'!Print_Area</vt:lpstr>
      <vt:lpstr>'2_Dept Risk Scorecard'!Print_Area</vt:lpstr>
      <vt:lpstr>'3_Retention ROI Model'!Print_Area</vt:lpstr>
      <vt:lpstr>'4_Source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2026-04-09T08:44:37Z</cp:lastPrinted>
  <dcterms:created xsi:type="dcterms:W3CDTF">2026-04-09T08:42:14Z</dcterms:created>
  <dcterms:modified xsi:type="dcterms:W3CDTF">2026-04-09T08:46:52Z</dcterms:modified>
</cp:coreProperties>
</file>